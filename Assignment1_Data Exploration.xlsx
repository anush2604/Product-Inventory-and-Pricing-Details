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tri - Data Analytics\Assignments\Assignemet1_Data Exploration\"/>
    </mc:Choice>
  </mc:AlternateContent>
  <xr:revisionPtr revIDLastSave="0" documentId="13_ncr:1_{A0C5F172-5973-4465-AA2E-ADED560CD53F}" xr6:coauthVersionLast="47" xr6:coauthVersionMax="47" xr10:uidLastSave="{00000000-0000-0000-0000-000000000000}"/>
  <bookViews>
    <workbookView xWindow="-98" yWindow="-98" windowWidth="19396" windowHeight="11475" activeTab="3" xr2:uid="{6A4C5397-CF26-4F6C-A5B1-67FBCE050431}"/>
  </bookViews>
  <sheets>
    <sheet name="Raw data" sheetId="1" r:id="rId1"/>
    <sheet name="Cleaning " sheetId="4" r:id="rId2"/>
    <sheet name="Question 1, 2" sheetId="3" r:id="rId3"/>
    <sheet name="Question 3, 4, 5" sheetId="5" r:id="rId4"/>
  </sheets>
  <definedNames>
    <definedName name="_xlnm._FilterDatabase" localSheetId="1" hidden="1">'Cleaning '!$A$2:$F$34</definedName>
    <definedName name="_xlnm._FilterDatabase" localSheetId="2" hidden="1">'Question 1, 2'!$A$1:$F$1</definedName>
    <definedName name="_xlnm._FilterDatabase" localSheetId="3" hidden="1">'Question 3, 4, 5'!$A$1:$J$1</definedName>
    <definedName name="_xlnm._FilterDatabase" localSheetId="0" hidden="1">'Raw data'!$A$1:$F$35</definedName>
    <definedName name="_xlnm.Print_Area" localSheetId="1">'Cleaning '!$H$3:$M$8</definedName>
    <definedName name="_xlnm.Print_Area" localSheetId="2">'Question 1, 2'!$H$2:$M$24</definedName>
    <definedName name="_xlnm.Print_Area" localSheetId="3">'Question 3, 4, 5'!$L$3:$P$42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2" i="5"/>
  <c r="L18" i="5"/>
  <c r="L22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2" i="5"/>
  <c r="I24" i="3"/>
  <c r="I21" i="3"/>
  <c r="I13" i="3"/>
  <c r="I10" i="3"/>
  <c r="I7" i="3"/>
</calcChain>
</file>

<file path=xl/sharedStrings.xml><?xml version="1.0" encoding="utf-8"?>
<sst xmlns="http://schemas.openxmlformats.org/spreadsheetml/2006/main" count="610" uniqueCount="131">
  <si>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</si>
  <si>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</si>
  <si>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</si>
  <si>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</si>
  <si>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</si>
  <si>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</si>
  <si>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</si>
  <si>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</si>
  <si>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</si>
  <si>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</si>
  <si>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</si>
  <si>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</si>
  <si>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</si>
  <si>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</si>
  <si>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</si>
  <si>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</si>
  <si>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</si>
  <si>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</si>
  <si>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</si>
  <si>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</si>
  <si>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</si>
  <si>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</si>
  <si>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</si>
  <si>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</si>
  <si>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</si>
  <si>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</si>
  <si>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</si>
  <si>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</si>
  <si>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</si>
  <si>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</si>
  <si>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</si>
  <si>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</si>
  <si>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</si>
  <si>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</si>
  <si>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</si>
  <si>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</si>
  <si>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</si>
  <si>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</si>
  <si>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</si>
  <si>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</si>
  <si>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</si>
  <si>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</si>
  <si>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</si>
  <si>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</si>
  <si>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</si>
  <si>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</si>
  <si>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</si>
  <si>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</si>
  <si>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</si>
  <si>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</si>
  <si>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</si>
  <si>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</si>
  <si>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</si>
  <si>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</si>
  <si>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</si>
  <si>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</si>
  <si>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</si>
  <si>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</si>
  <si>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</si>
  <si>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</si>
  <si>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</si>
  <si>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</si>
  <si>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</si>
  <si>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</si>
  <si>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</si>
  <si>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</si>
  <si>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</si>
  <si>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</si>
  <si>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</si>
  <si>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</si>
  <si>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</si>
  <si>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</si>
  <si>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</si>
  <si>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</si>
  <si>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</si>
  <si>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</si>
  <si>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</si>
  <si>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</si>
  <si>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</si>
  <si>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</si>
  <si>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</si>
  <si>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</si>
  <si>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</si>
  <si>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</si>
  <si>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</si>
  <si>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</si>
  <si>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</si>
  <si>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</si>
  <si>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</si>
  <si>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</si>
  <si>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</si>
  <si>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</si>
  <si>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</si>
  <si>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 No.1</t>
  </si>
  <si>
    <t>Sum, Count, Average</t>
  </si>
  <si>
    <t>1. Calculate the total price of all products in the dataset.</t>
  </si>
  <si>
    <t xml:space="preserve">2. Determine how many products exist in the dataset. </t>
  </si>
  <si>
    <t xml:space="preserve">3. Calculate the average price of the products. </t>
  </si>
  <si>
    <t>Question No.2</t>
  </si>
  <si>
    <t>Minimum and Maximum Values</t>
  </si>
  <si>
    <t xml:space="preserve">1. Identify the minimum price among all products. </t>
  </si>
  <si>
    <t xml:space="preserve">2. Identify the maximum price among all products. </t>
  </si>
  <si>
    <t>Logical Function – IF</t>
  </si>
  <si>
    <t>Price_Range</t>
  </si>
  <si>
    <t>=IF(D2&gt;=500,"High Price","Standard Price")</t>
  </si>
  <si>
    <t>=SUM(D2:D33)</t>
  </si>
  <si>
    <t>=COUNTA(UNIQUE(B2:B33))</t>
  </si>
  <si>
    <t>=AVERAGE(D2:D33)</t>
  </si>
  <si>
    <t>=MIN(D2:D33)</t>
  </si>
  <si>
    <t>=MAX(D2:D33)</t>
  </si>
  <si>
    <t>Question No.3</t>
  </si>
  <si>
    <t>Question No.4</t>
  </si>
  <si>
    <t>Conditional Functions – SUMIF and COUNTIF</t>
  </si>
  <si>
    <t>1. Use the SUMIF function to calculate the total price of products in the 
Electronics category.</t>
  </si>
  <si>
    <t>Create a new column named Price Range.
If Price ≥ $500 → classify as High Price
If Price &lt; $500 → classify as Standard Price</t>
  </si>
  <si>
    <t xml:space="preserve">2. Use the COUNTIF function to determine the number of products with a price less than $100. </t>
  </si>
  <si>
    <t>=SUMIF(F1:F32,"Electronics",D1:D32)</t>
  </si>
  <si>
    <t>=COUNTIF(D2:D33,"&lt;100")</t>
  </si>
  <si>
    <t xml:space="preserve">Text Formatting – LEFT, RIGHT, MID </t>
  </si>
  <si>
    <t>Question No.5</t>
  </si>
  <si>
    <t>Day</t>
  </si>
  <si>
    <t>Country
_code</t>
  </si>
  <si>
    <t>Month</t>
  </si>
  <si>
    <t xml:space="preserve">1. Create a new column named Day with the first 2 characters of each 
'Product ID' using the LEFT function. </t>
  </si>
  <si>
    <t>=LEFT(A2,2)</t>
  </si>
  <si>
    <t>=RIGHT(A2,2)</t>
  </si>
  <si>
    <t>2. Create a new column named Country Code by extracting the last 2 
characters from the 'Product ID' column using the RIGHT function.</t>
  </si>
  <si>
    <t>3. Create a new column named Month by extracting the 4th to 6th 
characters from the 'Product ID' column using the MID function.</t>
  </si>
  <si>
    <t>=MID(A2,4,3)</t>
  </si>
  <si>
    <t>Cleaned data</t>
  </si>
  <si>
    <t>2 Duplicate Products found and removed in product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</si>
</sst>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1" applyFont="1" applyBorder="1"/>
    <xf numFmtId="0" fontId="3" fillId="3" borderId="1" xfId="1" applyFont="1" applyFill="1" applyBorder="1"/>
    <xf numFmtId="0" fontId="2" fillId="2" borderId="2" xfId="1" applyFont="1" applyFill="1" applyBorder="1" applyAlignment="1">
      <alignment horizontal="center"/>
    </xf>
    <xf numFmtId="0" fontId="3" fillId="3" borderId="2" xfId="1" applyFont="1" applyFill="1" applyBorder="1"/>
    <xf numFmtId="0" fontId="3" fillId="0" borderId="2" xfId="1" applyFont="1" applyBorder="1"/>
    <xf numFmtId="0" fontId="3" fillId="3" borderId="4" xfId="1" applyFont="1" applyFill="1" applyBorder="1"/>
    <xf numFmtId="0" fontId="3" fillId="0" borderId="4" xfId="1" applyFont="1" applyBorder="1"/>
    <xf numFmtId="0" fontId="2" fillId="0" borderId="0" xfId="1" applyFont="1" applyAlignment="1">
      <alignment horizontal="center"/>
    </xf>
    <xf numFmtId="0" fontId="3" fillId="0" borderId="0" xfId="1" applyFont="1"/>
    <xf numFmtId="0" fontId="3" fillId="0" borderId="3" xfId="1" applyFont="1" applyBorder="1"/>
    <xf numFmtId="0" fontId="6" fillId="0" borderId="3" xfId="0" applyFont="1" applyBorder="1"/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8" xfId="0" applyFont="1" applyBorder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3" xfId="0" applyFont="1" applyBorder="1" applyAlignment="1">
      <alignment vertical="top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1" applyNumberFormat="1" applyFont="1" applyFill="1" applyBorder="1" applyAlignment="1">
      <alignment horizontal="center"/>
    </xf>
    <xf numFmtId="0" fontId="2" fillId="2" borderId="11" xfId="1" applyNumberFormat="1" applyFont="1" applyFill="1" applyBorder="1" applyAlignment="1">
      <alignment horizontal="center"/>
    </xf>
    <xf numFmtId="0" fontId="3" fillId="5" borderId="2" xfId="1" applyNumberFormat="1" applyFont="1" applyFill="1" applyBorder="1" applyAlignment="1"/>
    <xf numFmtId="0" fontId="3" fillId="5" borderId="11" xfId="1" applyNumberFormat="1" applyFont="1" applyFill="1" applyBorder="1" applyAlignment="1"/>
    <xf numFmtId="0" fontId="3" fillId="3" borderId="2" xfId="1" applyNumberFormat="1" applyFont="1" applyFill="1" applyBorder="1" applyAlignment="1"/>
    <xf numFmtId="0" fontId="3" fillId="3" borderId="11" xfId="1" applyNumberFormat="1" applyFont="1" applyFill="1" applyBorder="1" applyAlignment="1"/>
    <xf numFmtId="0" fontId="3" fillId="3" borderId="4" xfId="1" applyNumberFormat="1" applyFont="1" applyFill="1" applyBorder="1" applyAlignment="1"/>
    <xf numFmtId="0" fontId="3" fillId="3" borderId="1" xfId="1" applyNumberFormat="1" applyFont="1" applyFill="1" applyBorder="1" applyAlignment="1"/>
    <xf numFmtId="164" fontId="6" fillId="0" borderId="7" xfId="0" applyNumberFormat="1" applyFont="1" applyBorder="1" applyAlignment="1">
      <alignment horizontal="center"/>
    </xf>
    <xf numFmtId="164" fontId="0" fillId="0" borderId="0" xfId="0" applyNumberFormat="1"/>
    <xf numFmtId="164" fontId="0" fillId="0" borderId="0" xfId="0" applyNumberFormat="1" applyFill="1" applyBorder="1" applyAlignment="1">
      <alignment horizontal="center" vertical="top" wrapText="1"/>
    </xf>
  </cellXfs>
  <cellStyles count="2">
    <cellStyle name="Normal" xfId="0" builtinId="0"/>
    <cellStyle name="Normal 2" xfId="1" xr:uid="{8C0AB476-23FC-4C12-BE7C-BAB1A0C1CC1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8B19-8DAA-4489-AF58-89E9167A8B24}">
  <dimension ref="A1:F35"/>
  <sheetViews>
    <sheetView workbookViewId="0">
      <selection activeCell="E9" sqref="E9"/>
    </sheetView>
  </sheetViews>
  <sheetFormatPr defaultRowHeight="14.25" x14ac:dyDescent="0.45"/>
  <cols>
    <col min="1" max="1" width="11.9296875" customWidth="1"/>
    <col min="2" max="2" width="15.1328125" customWidth="1"/>
    <col min="3" max="3" width="13.53125" customWidth="1"/>
    <col min="4" max="4" width="9.796875" customWidth="1"/>
    <col min="5" max="5" width="10" customWidth="1"/>
    <col min="6" max="6" width="10.59765625" bestFit="1" customWidth="1"/>
  </cols>
  <sheetData>
    <row r="1" spans="1:6" x14ac:dyDescent="0.4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5</v>
      </c>
    </row>
    <row r="2" spans="1:6" x14ac:dyDescent="0.45">
      <c r="A2" s="32" t="s">
        <v>6</v>
      </c>
      <c r="B2" s="32" t="s">
        <v>7</v>
      </c>
      <c r="C2" s="32" t="s">
        <v>8</v>
      </c>
      <c r="D2" s="32">
        <v>1000</v>
      </c>
      <c r="E2" s="32">
        <v>30</v>
      </c>
      <c r="F2" s="33" t="s">
        <v>9</v>
      </c>
    </row>
    <row r="3" spans="1:6" x14ac:dyDescent="0.45">
      <c r="A3" s="34" t="s">
        <v>10</v>
      </c>
      <c r="B3" s="34" t="s">
        <v>11</v>
      </c>
      <c r="C3" s="34" t="s">
        <v>12</v>
      </c>
      <c r="D3" s="34">
        <v>80</v>
      </c>
      <c r="E3" s="34">
        <v>15</v>
      </c>
      <c r="F3" s="35" t="s">
        <v>13</v>
      </c>
    </row>
    <row r="4" spans="1:6" x14ac:dyDescent="0.45">
      <c r="A4" s="32" t="s">
        <v>14</v>
      </c>
      <c r="B4" s="32" t="s">
        <v>15</v>
      </c>
      <c r="C4" s="32" t="s">
        <v>16</v>
      </c>
      <c r="D4" s="32">
        <v>130</v>
      </c>
      <c r="E4" s="32">
        <v>40</v>
      </c>
      <c r="F4" s="33" t="s">
        <v>17</v>
      </c>
    </row>
    <row r="5" spans="1:6" x14ac:dyDescent="0.45">
      <c r="A5" s="34" t="s">
        <v>18</v>
      </c>
      <c r="B5" s="34" t="s">
        <v>19</v>
      </c>
      <c r="C5" s="34" t="s">
        <v>20</v>
      </c>
      <c r="D5" s="34">
        <v>900</v>
      </c>
      <c r="E5" s="34">
        <v>25</v>
      </c>
      <c r="F5" s="35" t="s">
        <v>9</v>
      </c>
    </row>
    <row r="6" spans="1:6" x14ac:dyDescent="0.45">
      <c r="A6" s="32" t="s">
        <v>21</v>
      </c>
      <c r="B6" s="32" t="s">
        <v>22</v>
      </c>
      <c r="C6" s="32" t="s">
        <v>23</v>
      </c>
      <c r="D6" s="32">
        <v>70</v>
      </c>
      <c r="E6" s="32">
        <v>20</v>
      </c>
      <c r="F6" s="33" t="s">
        <v>24</v>
      </c>
    </row>
    <row r="7" spans="1:6" x14ac:dyDescent="0.45">
      <c r="A7" s="34" t="s">
        <v>25</v>
      </c>
      <c r="B7" s="34" t="s">
        <v>26</v>
      </c>
      <c r="C7" s="34" t="s">
        <v>27</v>
      </c>
      <c r="D7" s="34">
        <v>200</v>
      </c>
      <c r="E7" s="34">
        <v>45</v>
      </c>
      <c r="F7" s="35" t="s">
        <v>9</v>
      </c>
    </row>
    <row r="8" spans="1:6" x14ac:dyDescent="0.45">
      <c r="A8" s="32" t="s">
        <v>28</v>
      </c>
      <c r="B8" s="32" t="s">
        <v>29</v>
      </c>
      <c r="C8" s="32" t="s">
        <v>30</v>
      </c>
      <c r="D8" s="32">
        <v>30</v>
      </c>
      <c r="E8" s="32">
        <v>5</v>
      </c>
      <c r="F8" s="33" t="s">
        <v>13</v>
      </c>
    </row>
    <row r="9" spans="1:6" x14ac:dyDescent="0.45">
      <c r="A9" s="34" t="s">
        <v>31</v>
      </c>
      <c r="B9" s="34" t="s">
        <v>32</v>
      </c>
      <c r="C9" s="34" t="s">
        <v>33</v>
      </c>
      <c r="D9" s="34">
        <v>90</v>
      </c>
      <c r="E9" s="34">
        <v>35</v>
      </c>
      <c r="F9" s="35" t="s">
        <v>17</v>
      </c>
    </row>
    <row r="10" spans="1:6" x14ac:dyDescent="0.45">
      <c r="A10" s="32" t="s">
        <v>34</v>
      </c>
      <c r="B10" s="32" t="s">
        <v>35</v>
      </c>
      <c r="C10" s="32" t="s">
        <v>36</v>
      </c>
      <c r="D10" s="32">
        <v>500</v>
      </c>
      <c r="E10" s="32">
        <v>50</v>
      </c>
      <c r="F10" s="33" t="s">
        <v>9</v>
      </c>
    </row>
    <row r="11" spans="1:6" x14ac:dyDescent="0.45">
      <c r="A11" s="34" t="s">
        <v>37</v>
      </c>
      <c r="B11" s="34" t="s">
        <v>38</v>
      </c>
      <c r="C11" s="34" t="s">
        <v>39</v>
      </c>
      <c r="D11" s="34">
        <v>130</v>
      </c>
      <c r="E11" s="34">
        <v>10</v>
      </c>
      <c r="F11" s="35" t="s">
        <v>24</v>
      </c>
    </row>
    <row r="12" spans="1:6" x14ac:dyDescent="0.45">
      <c r="A12" s="32" t="s">
        <v>40</v>
      </c>
      <c r="B12" s="32" t="s">
        <v>7</v>
      </c>
      <c r="C12" s="32" t="s">
        <v>41</v>
      </c>
      <c r="D12" s="32">
        <v>950</v>
      </c>
      <c r="E12" s="32">
        <v>25</v>
      </c>
      <c r="F12" s="33" t="s">
        <v>9</v>
      </c>
    </row>
    <row r="13" spans="1:6" x14ac:dyDescent="0.45">
      <c r="A13" s="34" t="s">
        <v>42</v>
      </c>
      <c r="B13" s="34" t="s">
        <v>11</v>
      </c>
      <c r="C13" s="34" t="s">
        <v>30</v>
      </c>
      <c r="D13" s="34">
        <v>90</v>
      </c>
      <c r="E13" s="34">
        <v>40</v>
      </c>
      <c r="F13" s="35" t="s">
        <v>13</v>
      </c>
    </row>
    <row r="14" spans="1:6" x14ac:dyDescent="0.45">
      <c r="A14" s="32" t="s">
        <v>43</v>
      </c>
      <c r="B14" s="32" t="s">
        <v>15</v>
      </c>
      <c r="C14" s="32" t="s">
        <v>44</v>
      </c>
      <c r="D14" s="32">
        <v>120</v>
      </c>
      <c r="E14" s="32">
        <v>35</v>
      </c>
      <c r="F14" s="33" t="s">
        <v>17</v>
      </c>
    </row>
    <row r="15" spans="1:6" x14ac:dyDescent="0.45">
      <c r="A15" s="34" t="s">
        <v>45</v>
      </c>
      <c r="B15" s="34" t="s">
        <v>46</v>
      </c>
      <c r="C15" s="34" t="s">
        <v>47</v>
      </c>
      <c r="D15" s="34">
        <v>150</v>
      </c>
      <c r="E15" s="34">
        <v>15</v>
      </c>
      <c r="F15" s="35" t="s">
        <v>9</v>
      </c>
    </row>
    <row r="16" spans="1:6" x14ac:dyDescent="0.45">
      <c r="A16" s="32" t="s">
        <v>48</v>
      </c>
      <c r="B16" s="32" t="s">
        <v>26</v>
      </c>
      <c r="C16" s="32" t="s">
        <v>49</v>
      </c>
      <c r="D16" s="32">
        <v>250</v>
      </c>
      <c r="E16" s="32">
        <v>20</v>
      </c>
      <c r="F16" s="33" t="s">
        <v>9</v>
      </c>
    </row>
    <row r="17" spans="1:6" x14ac:dyDescent="0.45">
      <c r="A17" s="34" t="s">
        <v>50</v>
      </c>
      <c r="B17" s="34" t="s">
        <v>51</v>
      </c>
      <c r="C17" s="34" t="s">
        <v>52</v>
      </c>
      <c r="D17" s="34">
        <v>50</v>
      </c>
      <c r="E17" s="34">
        <v>35</v>
      </c>
      <c r="F17" s="35" t="s">
        <v>53</v>
      </c>
    </row>
    <row r="18" spans="1:6" x14ac:dyDescent="0.45">
      <c r="A18" s="32" t="s">
        <v>54</v>
      </c>
      <c r="B18" s="32" t="s">
        <v>46</v>
      </c>
      <c r="C18" s="32" t="s">
        <v>55</v>
      </c>
      <c r="D18" s="32">
        <v>160</v>
      </c>
      <c r="E18" s="32">
        <v>15</v>
      </c>
      <c r="F18" s="33" t="s">
        <v>9</v>
      </c>
    </row>
    <row r="19" spans="1:6" x14ac:dyDescent="0.45">
      <c r="A19" s="34" t="s">
        <v>56</v>
      </c>
      <c r="B19" s="34" t="s">
        <v>7</v>
      </c>
      <c r="C19" s="34" t="s">
        <v>57</v>
      </c>
      <c r="D19" s="34">
        <v>980</v>
      </c>
      <c r="E19" s="34">
        <v>10</v>
      </c>
      <c r="F19" s="35" t="s">
        <v>9</v>
      </c>
    </row>
    <row r="20" spans="1:6" x14ac:dyDescent="0.45">
      <c r="A20" s="32" t="s">
        <v>58</v>
      </c>
      <c r="B20" s="32" t="s">
        <v>59</v>
      </c>
      <c r="C20" s="32" t="s">
        <v>60</v>
      </c>
      <c r="D20" s="32">
        <v>150</v>
      </c>
      <c r="E20" s="32">
        <v>15</v>
      </c>
      <c r="F20" s="33" t="s">
        <v>13</v>
      </c>
    </row>
    <row r="21" spans="1:6" x14ac:dyDescent="0.45">
      <c r="A21" s="34" t="s">
        <v>61</v>
      </c>
      <c r="B21" s="34" t="s">
        <v>62</v>
      </c>
      <c r="C21" s="34" t="s">
        <v>63</v>
      </c>
      <c r="D21" s="34">
        <v>200</v>
      </c>
      <c r="E21" s="34">
        <v>10</v>
      </c>
      <c r="F21" s="35" t="s">
        <v>24</v>
      </c>
    </row>
    <row r="22" spans="1:6" x14ac:dyDescent="0.45">
      <c r="A22" s="32" t="s">
        <v>64</v>
      </c>
      <c r="B22" s="32" t="s">
        <v>65</v>
      </c>
      <c r="C22" s="32" t="s">
        <v>66</v>
      </c>
      <c r="D22" s="32">
        <v>700</v>
      </c>
      <c r="E22" s="32">
        <v>50</v>
      </c>
      <c r="F22" s="33" t="s">
        <v>9</v>
      </c>
    </row>
    <row r="23" spans="1:6" x14ac:dyDescent="0.45">
      <c r="A23" s="34" t="s">
        <v>67</v>
      </c>
      <c r="B23" s="34" t="s">
        <v>68</v>
      </c>
      <c r="C23" s="34" t="s">
        <v>69</v>
      </c>
      <c r="D23" s="34">
        <v>80</v>
      </c>
      <c r="E23" s="34">
        <v>20</v>
      </c>
      <c r="F23" s="35" t="s">
        <v>17</v>
      </c>
    </row>
    <row r="24" spans="1:6" x14ac:dyDescent="0.45">
      <c r="A24" s="32" t="s">
        <v>70</v>
      </c>
      <c r="B24" s="32" t="s">
        <v>71</v>
      </c>
      <c r="C24" s="32" t="s">
        <v>72</v>
      </c>
      <c r="D24" s="32">
        <v>150</v>
      </c>
      <c r="E24" s="32">
        <v>30</v>
      </c>
      <c r="F24" s="33" t="s">
        <v>9</v>
      </c>
    </row>
    <row r="25" spans="1:6" x14ac:dyDescent="0.45">
      <c r="A25" s="34" t="s">
        <v>50</v>
      </c>
      <c r="B25" s="34" t="s">
        <v>51</v>
      </c>
      <c r="C25" s="34" t="s">
        <v>52</v>
      </c>
      <c r="D25" s="34">
        <v>50</v>
      </c>
      <c r="E25" s="34">
        <v>35</v>
      </c>
      <c r="F25" s="35" t="s">
        <v>53</v>
      </c>
    </row>
    <row r="26" spans="1:6" x14ac:dyDescent="0.45">
      <c r="A26" s="32" t="s">
        <v>73</v>
      </c>
      <c r="B26" s="32" t="s">
        <v>19</v>
      </c>
      <c r="C26" s="32" t="s">
        <v>74</v>
      </c>
      <c r="D26" s="32">
        <v>800</v>
      </c>
      <c r="E26" s="32">
        <v>45</v>
      </c>
      <c r="F26" s="33" t="s">
        <v>9</v>
      </c>
    </row>
    <row r="27" spans="1:6" x14ac:dyDescent="0.45">
      <c r="A27" s="34" t="s">
        <v>75</v>
      </c>
      <c r="B27" s="34" t="s">
        <v>59</v>
      </c>
      <c r="C27" s="34" t="s">
        <v>76</v>
      </c>
      <c r="D27" s="34">
        <v>130</v>
      </c>
      <c r="E27" s="34">
        <v>25</v>
      </c>
      <c r="F27" s="35" t="s">
        <v>13</v>
      </c>
    </row>
    <row r="28" spans="1:6" x14ac:dyDescent="0.45">
      <c r="A28" s="32" t="s">
        <v>77</v>
      </c>
      <c r="B28" s="32" t="s">
        <v>32</v>
      </c>
      <c r="C28" s="32" t="s">
        <v>78</v>
      </c>
      <c r="D28" s="32">
        <v>400</v>
      </c>
      <c r="E28" s="32">
        <v>40</v>
      </c>
      <c r="F28" s="33" t="s">
        <v>17</v>
      </c>
    </row>
    <row r="29" spans="1:6" x14ac:dyDescent="0.45">
      <c r="A29" s="34" t="s">
        <v>48</v>
      </c>
      <c r="B29" s="34" t="s">
        <v>26</v>
      </c>
      <c r="C29" s="34" t="s">
        <v>49</v>
      </c>
      <c r="D29" s="34">
        <v>230</v>
      </c>
      <c r="E29" s="34">
        <v>20</v>
      </c>
      <c r="F29" s="35" t="s">
        <v>9</v>
      </c>
    </row>
    <row r="30" spans="1:6" x14ac:dyDescent="0.45">
      <c r="A30" s="32" t="s">
        <v>79</v>
      </c>
      <c r="B30" s="32" t="s">
        <v>80</v>
      </c>
      <c r="C30" s="32" t="s">
        <v>81</v>
      </c>
      <c r="D30" s="32">
        <v>60</v>
      </c>
      <c r="E30" s="32">
        <v>30</v>
      </c>
      <c r="F30" s="33" t="s">
        <v>13</v>
      </c>
    </row>
    <row r="31" spans="1:6" x14ac:dyDescent="0.45">
      <c r="A31" s="34" t="s">
        <v>82</v>
      </c>
      <c r="B31" s="34" t="s">
        <v>83</v>
      </c>
      <c r="C31" s="34" t="s">
        <v>84</v>
      </c>
      <c r="D31" s="34">
        <v>40</v>
      </c>
      <c r="E31" s="34">
        <v>10</v>
      </c>
      <c r="F31" s="35" t="s">
        <v>17</v>
      </c>
    </row>
    <row r="32" spans="1:6" x14ac:dyDescent="0.45">
      <c r="A32" s="32" t="s">
        <v>85</v>
      </c>
      <c r="B32" s="32" t="s">
        <v>71</v>
      </c>
      <c r="C32" s="32" t="s">
        <v>86</v>
      </c>
      <c r="D32" s="32">
        <v>130</v>
      </c>
      <c r="E32" s="32">
        <v>5</v>
      </c>
      <c r="F32" s="33" t="s">
        <v>9</v>
      </c>
    </row>
    <row r="33" spans="1:6" x14ac:dyDescent="0.45">
      <c r="A33" s="34" t="s">
        <v>87</v>
      </c>
      <c r="B33" s="34" t="s">
        <v>88</v>
      </c>
      <c r="C33" s="34" t="s">
        <v>89</v>
      </c>
      <c r="D33" s="34">
        <v>50</v>
      </c>
      <c r="E33" s="34">
        <v>50</v>
      </c>
      <c r="F33" s="35" t="s">
        <v>13</v>
      </c>
    </row>
    <row r="34" spans="1:6" x14ac:dyDescent="0.45">
      <c r="A34" s="32" t="s">
        <v>40</v>
      </c>
      <c r="B34" s="32" t="s">
        <v>7</v>
      </c>
      <c r="C34" s="32" t="s">
        <v>41</v>
      </c>
      <c r="D34" s="32">
        <v>950</v>
      </c>
      <c r="E34" s="32">
        <v>25</v>
      </c>
      <c r="F34" s="33" t="s">
        <v>9</v>
      </c>
    </row>
    <row r="35" spans="1:6" x14ac:dyDescent="0.45">
      <c r="A35" s="36" t="s">
        <v>90</v>
      </c>
      <c r="B35" s="36" t="s">
        <v>91</v>
      </c>
      <c r="C35" s="36" t="s">
        <v>92</v>
      </c>
      <c r="D35" s="36">
        <v>100</v>
      </c>
      <c r="E35" s="36">
        <v>20</v>
      </c>
      <c r="F35" s="37" t="s">
        <v>53</v>
      </c>
    </row>
  </sheetData>
  <conditionalFormatting sqref="A1:D1">
    <cfRule type="duplicateValues" dxfId="6" priority="2"/>
  </conditionalFormatting>
  <conditionalFormatting sqref="A13:F13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C788-0692-4BE5-95E0-8DBB3493EBC4}">
  <dimension ref="A1:M34"/>
  <sheetViews>
    <sheetView workbookViewId="0">
      <selection activeCell="I8" sqref="I8"/>
    </sheetView>
  </sheetViews>
  <sheetFormatPr defaultRowHeight="14.25" x14ac:dyDescent="0.45"/>
  <cols>
    <col min="1" max="1" width="14.46484375" bestFit="1" customWidth="1"/>
    <col min="2" max="2" width="17.73046875" bestFit="1" customWidth="1"/>
    <col min="3" max="3" width="16.06640625" bestFit="1" customWidth="1"/>
    <col min="4" max="4" width="12.33203125" bestFit="1" customWidth="1"/>
    <col min="5" max="5" width="12.53125" bestFit="1" customWidth="1"/>
    <col min="6" max="6" width="13.06640625" bestFit="1" customWidth="1"/>
    <col min="8" max="8" width="10.33203125" bestFit="1" customWidth="1"/>
    <col min="9" max="9" width="10" bestFit="1" customWidth="1"/>
    <col min="10" max="10" width="9.265625" bestFit="1" customWidth="1"/>
    <col min="13" max="13" width="11.73046875" customWidth="1"/>
  </cols>
  <sheetData>
    <row r="1" spans="1:13" x14ac:dyDescent="0.45">
      <c r="A1" s="20" t="s">
        <v>129</v>
      </c>
      <c r="B1" s="21"/>
      <c r="C1" s="21"/>
      <c r="D1" s="21"/>
      <c r="E1" s="21"/>
      <c r="F1" s="22"/>
    </row>
    <row r="2" spans="1:13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3" x14ac:dyDescent="0.45">
      <c r="A3" s="2" t="s">
        <v>6</v>
      </c>
      <c r="B3" s="2" t="s">
        <v>7</v>
      </c>
      <c r="C3" s="2" t="s">
        <v>8</v>
      </c>
      <c r="D3" s="2">
        <v>1000</v>
      </c>
      <c r="E3" s="2">
        <v>30</v>
      </c>
      <c r="F3" s="2" t="s">
        <v>9</v>
      </c>
      <c r="H3" s="20" t="s">
        <v>130</v>
      </c>
      <c r="I3" s="21"/>
      <c r="J3" s="21"/>
      <c r="K3" s="21"/>
      <c r="L3" s="21"/>
      <c r="M3" s="22"/>
    </row>
    <row r="4" spans="1:13" x14ac:dyDescent="0.45">
      <c r="A4" s="3" t="s">
        <v>10</v>
      </c>
      <c r="B4" s="3" t="s">
        <v>11</v>
      </c>
      <c r="C4" s="3" t="s">
        <v>12</v>
      </c>
      <c r="D4" s="3">
        <v>80</v>
      </c>
      <c r="E4" s="3">
        <v>15</v>
      </c>
      <c r="F4" s="3" t="s">
        <v>13</v>
      </c>
      <c r="H4" s="1" t="s">
        <v>0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</row>
    <row r="5" spans="1:13" x14ac:dyDescent="0.45">
      <c r="A5" s="2" t="s">
        <v>14</v>
      </c>
      <c r="B5" s="2" t="s">
        <v>15</v>
      </c>
      <c r="C5" s="2" t="s">
        <v>16</v>
      </c>
      <c r="D5" s="2">
        <v>130</v>
      </c>
      <c r="E5" s="2">
        <v>40</v>
      </c>
      <c r="F5" s="2" t="s">
        <v>17</v>
      </c>
      <c r="H5" s="2" t="s">
        <v>40</v>
      </c>
      <c r="I5" s="2" t="s">
        <v>7</v>
      </c>
      <c r="J5" s="2" t="s">
        <v>41</v>
      </c>
      <c r="K5" s="2">
        <v>950</v>
      </c>
      <c r="L5" s="2">
        <v>25</v>
      </c>
      <c r="M5" s="2" t="s">
        <v>9</v>
      </c>
    </row>
    <row r="6" spans="1:13" x14ac:dyDescent="0.45">
      <c r="A6" s="3" t="s">
        <v>18</v>
      </c>
      <c r="B6" s="3" t="s">
        <v>19</v>
      </c>
      <c r="C6" s="3" t="s">
        <v>20</v>
      </c>
      <c r="D6" s="3">
        <v>900</v>
      </c>
      <c r="E6" s="3">
        <v>25</v>
      </c>
      <c r="F6" s="3" t="s">
        <v>9</v>
      </c>
      <c r="H6" s="3" t="s">
        <v>50</v>
      </c>
      <c r="I6" s="3" t="s">
        <v>51</v>
      </c>
      <c r="J6" s="3" t="s">
        <v>52</v>
      </c>
      <c r="K6" s="3">
        <v>50</v>
      </c>
      <c r="L6" s="3">
        <v>35</v>
      </c>
      <c r="M6" s="3" t="s">
        <v>53</v>
      </c>
    </row>
    <row r="7" spans="1:13" x14ac:dyDescent="0.45">
      <c r="A7" s="2" t="s">
        <v>21</v>
      </c>
      <c r="B7" s="2" t="s">
        <v>22</v>
      </c>
      <c r="C7" s="2" t="s">
        <v>23</v>
      </c>
      <c r="D7" s="2">
        <v>70</v>
      </c>
      <c r="E7" s="2">
        <v>20</v>
      </c>
      <c r="F7" s="2" t="s">
        <v>24</v>
      </c>
      <c r="H7" s="3" t="s">
        <v>50</v>
      </c>
      <c r="I7" s="3" t="s">
        <v>51</v>
      </c>
      <c r="J7" s="3" t="s">
        <v>52</v>
      </c>
      <c r="K7" s="3">
        <v>50</v>
      </c>
      <c r="L7" s="3">
        <v>35</v>
      </c>
      <c r="M7" s="3" t="s">
        <v>53</v>
      </c>
    </row>
    <row r="8" spans="1:13" x14ac:dyDescent="0.45">
      <c r="A8" s="3" t="s">
        <v>25</v>
      </c>
      <c r="B8" s="3" t="s">
        <v>26</v>
      </c>
      <c r="C8" s="3" t="s">
        <v>27</v>
      </c>
      <c r="D8" s="3">
        <v>200</v>
      </c>
      <c r="E8" s="3">
        <v>45</v>
      </c>
      <c r="F8" s="3" t="s">
        <v>9</v>
      </c>
      <c r="H8" s="2" t="s">
        <v>40</v>
      </c>
      <c r="I8" s="2" t="s">
        <v>7</v>
      </c>
      <c r="J8" s="2" t="s">
        <v>41</v>
      </c>
      <c r="K8" s="2">
        <v>950</v>
      </c>
      <c r="L8" s="2">
        <v>25</v>
      </c>
      <c r="M8" s="2" t="s">
        <v>9</v>
      </c>
    </row>
    <row r="9" spans="1:13" x14ac:dyDescent="0.45">
      <c r="A9" s="2" t="s">
        <v>28</v>
      </c>
      <c r="B9" s="2" t="s">
        <v>29</v>
      </c>
      <c r="C9" s="2" t="s">
        <v>30</v>
      </c>
      <c r="D9" s="2">
        <v>30</v>
      </c>
      <c r="E9" s="2">
        <v>5</v>
      </c>
      <c r="F9" s="2" t="s">
        <v>13</v>
      </c>
    </row>
    <row r="10" spans="1:13" x14ac:dyDescent="0.45">
      <c r="A10" s="3" t="s">
        <v>31</v>
      </c>
      <c r="B10" s="3" t="s">
        <v>32</v>
      </c>
      <c r="C10" s="3" t="s">
        <v>33</v>
      </c>
      <c r="D10" s="3">
        <v>90</v>
      </c>
      <c r="E10" s="3">
        <v>35</v>
      </c>
      <c r="F10" s="3" t="s">
        <v>17</v>
      </c>
    </row>
    <row r="11" spans="1:13" x14ac:dyDescent="0.45">
      <c r="A11" s="2" t="s">
        <v>34</v>
      </c>
      <c r="B11" s="2" t="s">
        <v>35</v>
      </c>
      <c r="C11" s="2" t="s">
        <v>36</v>
      </c>
      <c r="D11" s="2">
        <v>500</v>
      </c>
      <c r="E11" s="2">
        <v>50</v>
      </c>
      <c r="F11" s="2" t="s">
        <v>9</v>
      </c>
    </row>
    <row r="12" spans="1:13" x14ac:dyDescent="0.45">
      <c r="A12" s="3" t="s">
        <v>37</v>
      </c>
      <c r="B12" s="3" t="s">
        <v>38</v>
      </c>
      <c r="C12" s="3" t="s">
        <v>39</v>
      </c>
      <c r="D12" s="3">
        <v>130</v>
      </c>
      <c r="E12" s="3">
        <v>10</v>
      </c>
      <c r="F12" s="3" t="s">
        <v>24</v>
      </c>
    </row>
    <row r="13" spans="1:13" x14ac:dyDescent="0.45">
      <c r="A13" s="2" t="s">
        <v>40</v>
      </c>
      <c r="B13" s="2" t="s">
        <v>7</v>
      </c>
      <c r="C13" s="2" t="s">
        <v>41</v>
      </c>
      <c r="D13" s="2">
        <v>950</v>
      </c>
      <c r="E13" s="2">
        <v>25</v>
      </c>
      <c r="F13" s="2" t="s">
        <v>9</v>
      </c>
    </row>
    <row r="14" spans="1:13" x14ac:dyDescent="0.45">
      <c r="A14" s="3" t="s">
        <v>42</v>
      </c>
      <c r="B14" s="3" t="s">
        <v>11</v>
      </c>
      <c r="C14" s="3" t="s">
        <v>30</v>
      </c>
      <c r="D14" s="3">
        <v>90</v>
      </c>
      <c r="E14" s="3">
        <v>40</v>
      </c>
      <c r="F14" s="3" t="s">
        <v>13</v>
      </c>
    </row>
    <row r="15" spans="1:13" x14ac:dyDescent="0.45">
      <c r="A15" s="2" t="s">
        <v>43</v>
      </c>
      <c r="B15" s="2" t="s">
        <v>15</v>
      </c>
      <c r="C15" s="2" t="s">
        <v>44</v>
      </c>
      <c r="D15" s="2">
        <v>120</v>
      </c>
      <c r="E15" s="2">
        <v>35</v>
      </c>
      <c r="F15" s="2" t="s">
        <v>17</v>
      </c>
    </row>
    <row r="16" spans="1:13" x14ac:dyDescent="0.45">
      <c r="A16" s="3" t="s">
        <v>45</v>
      </c>
      <c r="B16" s="3" t="s">
        <v>46</v>
      </c>
      <c r="C16" s="3" t="s">
        <v>47</v>
      </c>
      <c r="D16" s="3">
        <v>150</v>
      </c>
      <c r="E16" s="3">
        <v>15</v>
      </c>
      <c r="F16" s="3" t="s">
        <v>9</v>
      </c>
    </row>
    <row r="17" spans="1:6" x14ac:dyDescent="0.45">
      <c r="A17" s="2" t="s">
        <v>48</v>
      </c>
      <c r="B17" s="2" t="s">
        <v>26</v>
      </c>
      <c r="C17" s="2" t="s">
        <v>49</v>
      </c>
      <c r="D17" s="2">
        <v>250</v>
      </c>
      <c r="E17" s="2">
        <v>20</v>
      </c>
      <c r="F17" s="2" t="s">
        <v>9</v>
      </c>
    </row>
    <row r="18" spans="1:6" x14ac:dyDescent="0.45">
      <c r="A18" s="3" t="s">
        <v>50</v>
      </c>
      <c r="B18" s="3" t="s">
        <v>51</v>
      </c>
      <c r="C18" s="3" t="s">
        <v>52</v>
      </c>
      <c r="D18" s="3">
        <v>50</v>
      </c>
      <c r="E18" s="3">
        <v>35</v>
      </c>
      <c r="F18" s="3" t="s">
        <v>53</v>
      </c>
    </row>
    <row r="19" spans="1:6" x14ac:dyDescent="0.45">
      <c r="A19" s="2" t="s">
        <v>54</v>
      </c>
      <c r="B19" s="2" t="s">
        <v>46</v>
      </c>
      <c r="C19" s="2" t="s">
        <v>55</v>
      </c>
      <c r="D19" s="2">
        <v>160</v>
      </c>
      <c r="E19" s="2">
        <v>15</v>
      </c>
      <c r="F19" s="2" t="s">
        <v>9</v>
      </c>
    </row>
    <row r="20" spans="1:6" x14ac:dyDescent="0.45">
      <c r="A20" s="3" t="s">
        <v>56</v>
      </c>
      <c r="B20" s="3" t="s">
        <v>7</v>
      </c>
      <c r="C20" s="3" t="s">
        <v>57</v>
      </c>
      <c r="D20" s="3">
        <v>980</v>
      </c>
      <c r="E20" s="3">
        <v>10</v>
      </c>
      <c r="F20" s="3" t="s">
        <v>9</v>
      </c>
    </row>
    <row r="21" spans="1:6" x14ac:dyDescent="0.45">
      <c r="A21" s="2" t="s">
        <v>58</v>
      </c>
      <c r="B21" s="2" t="s">
        <v>59</v>
      </c>
      <c r="C21" s="2" t="s">
        <v>60</v>
      </c>
      <c r="D21" s="2">
        <v>150</v>
      </c>
      <c r="E21" s="2">
        <v>15</v>
      </c>
      <c r="F21" s="2" t="s">
        <v>13</v>
      </c>
    </row>
    <row r="22" spans="1:6" x14ac:dyDescent="0.45">
      <c r="A22" s="3" t="s">
        <v>61</v>
      </c>
      <c r="B22" s="3" t="s">
        <v>62</v>
      </c>
      <c r="C22" s="3" t="s">
        <v>63</v>
      </c>
      <c r="D22" s="3">
        <v>200</v>
      </c>
      <c r="E22" s="3">
        <v>10</v>
      </c>
      <c r="F22" s="3" t="s">
        <v>24</v>
      </c>
    </row>
    <row r="23" spans="1:6" x14ac:dyDescent="0.45">
      <c r="A23" s="2" t="s">
        <v>64</v>
      </c>
      <c r="B23" s="2" t="s">
        <v>65</v>
      </c>
      <c r="C23" s="2" t="s">
        <v>66</v>
      </c>
      <c r="D23" s="2">
        <v>700</v>
      </c>
      <c r="E23" s="2">
        <v>50</v>
      </c>
      <c r="F23" s="2" t="s">
        <v>9</v>
      </c>
    </row>
    <row r="24" spans="1:6" x14ac:dyDescent="0.45">
      <c r="A24" s="3" t="s">
        <v>67</v>
      </c>
      <c r="B24" s="3" t="s">
        <v>68</v>
      </c>
      <c r="C24" s="3" t="s">
        <v>69</v>
      </c>
      <c r="D24" s="3">
        <v>80</v>
      </c>
      <c r="E24" s="3">
        <v>20</v>
      </c>
      <c r="F24" s="3" t="s">
        <v>17</v>
      </c>
    </row>
    <row r="25" spans="1:6" x14ac:dyDescent="0.45">
      <c r="A25" s="2" t="s">
        <v>70</v>
      </c>
      <c r="B25" s="2" t="s">
        <v>71</v>
      </c>
      <c r="C25" s="2" t="s">
        <v>72</v>
      </c>
      <c r="D25" s="2">
        <v>150</v>
      </c>
      <c r="E25" s="2">
        <v>30</v>
      </c>
      <c r="F25" s="2" t="s">
        <v>9</v>
      </c>
    </row>
    <row r="26" spans="1:6" x14ac:dyDescent="0.4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4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 x14ac:dyDescent="0.4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4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 x14ac:dyDescent="0.4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4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 x14ac:dyDescent="0.4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4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45">
      <c r="A34" s="2" t="s">
        <v>90</v>
      </c>
      <c r="B34" s="2" t="s">
        <v>91</v>
      </c>
      <c r="C34" s="2" t="s">
        <v>92</v>
      </c>
      <c r="D34" s="2">
        <v>100</v>
      </c>
      <c r="E34" s="2">
        <v>20</v>
      </c>
      <c r="F34" s="2" t="s">
        <v>53</v>
      </c>
    </row>
  </sheetData>
  <mergeCells count="2">
    <mergeCell ref="H3:M3"/>
    <mergeCell ref="A1:F1"/>
  </mergeCells>
  <conditionalFormatting sqref="H4:K4">
    <cfRule type="duplicateValues" dxfId="4" priority="2"/>
  </conditionalFormatting>
  <conditionalFormatting sqref="H5:M8">
    <cfRule type="duplicateValues" dxfId="3" priority="1"/>
  </conditionalFormatting>
  <conditionalFormatting sqref="A2:XFD2">
    <cfRule type="duplicateValues" dxfId="2" priority="3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3FDB-8DEF-406E-BEAC-3494AF7ED285}">
  <sheetPr>
    <pageSetUpPr fitToPage="1"/>
  </sheetPr>
  <dimension ref="A1:M33"/>
  <sheetViews>
    <sheetView topLeftCell="E9" workbookViewId="0">
      <selection activeCell="I24" sqref="I24:L24"/>
    </sheetView>
  </sheetViews>
  <sheetFormatPr defaultRowHeight="14.25" x14ac:dyDescent="0.45"/>
  <cols>
    <col min="1" max="1" width="14.46484375" bestFit="1" customWidth="1"/>
    <col min="2" max="2" width="17.73046875" bestFit="1" customWidth="1"/>
    <col min="3" max="3" width="16.06640625" bestFit="1" customWidth="1"/>
    <col min="4" max="4" width="12.33203125" bestFit="1" customWidth="1"/>
    <col min="5" max="5" width="12.53125" bestFit="1" customWidth="1"/>
    <col min="6" max="6" width="13.06640625" bestFit="1" customWidth="1"/>
    <col min="8" max="8" width="9.06640625" customWidth="1"/>
    <col min="13" max="13" width="28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4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H2" s="24" t="s">
        <v>93</v>
      </c>
      <c r="I2" s="24"/>
      <c r="J2" s="24"/>
      <c r="K2" s="24"/>
      <c r="L2" s="24"/>
      <c r="M2" s="24"/>
    </row>
    <row r="3" spans="1:13" x14ac:dyDescent="0.4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H3" s="24"/>
      <c r="I3" s="24"/>
      <c r="J3" s="24"/>
      <c r="K3" s="24"/>
      <c r="L3" s="24"/>
      <c r="M3" s="24"/>
    </row>
    <row r="4" spans="1:13" ht="16.899999999999999" x14ac:dyDescent="0.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H4" s="25" t="s">
        <v>94</v>
      </c>
      <c r="I4" s="25"/>
      <c r="J4" s="25"/>
      <c r="K4" s="25"/>
      <c r="L4" s="25"/>
      <c r="M4" s="25"/>
    </row>
    <row r="5" spans="1:13" ht="16.899999999999999" x14ac:dyDescent="0.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H5" s="12"/>
      <c r="I5" s="13"/>
      <c r="J5" s="13"/>
      <c r="K5" s="13"/>
      <c r="L5" s="13"/>
      <c r="M5" s="14"/>
    </row>
    <row r="6" spans="1:13" ht="16.899999999999999" customHeight="1" x14ac:dyDescent="0.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H6" s="19" t="s">
        <v>95</v>
      </c>
      <c r="I6" s="18"/>
      <c r="J6" s="18"/>
      <c r="K6" s="18"/>
      <c r="L6" s="18"/>
      <c r="M6" s="14"/>
    </row>
    <row r="7" spans="1:13" ht="16.899999999999999" x14ac:dyDescent="0.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H7" s="12"/>
      <c r="I7" s="23">
        <f>SUM(D2:D33)</f>
        <v>9100</v>
      </c>
      <c r="J7" s="23"/>
      <c r="K7" s="23"/>
      <c r="L7" s="23"/>
      <c r="M7" s="14" t="s">
        <v>105</v>
      </c>
    </row>
    <row r="8" spans="1:13" ht="16.899999999999999" x14ac:dyDescent="0.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H8" s="12"/>
      <c r="I8" s="13"/>
      <c r="J8" s="13"/>
      <c r="K8" s="13"/>
      <c r="L8" s="13"/>
      <c r="M8" s="14"/>
    </row>
    <row r="9" spans="1:13" ht="16.899999999999999" x14ac:dyDescent="0.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H9" s="19" t="s">
        <v>96</v>
      </c>
      <c r="I9" s="17"/>
      <c r="J9" s="17"/>
      <c r="K9" s="17"/>
      <c r="L9" s="17"/>
      <c r="M9" s="14"/>
    </row>
    <row r="10" spans="1:13" ht="16.899999999999999" x14ac:dyDescent="0.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H10" s="12"/>
      <c r="I10" s="23">
        <f>COUNTA(_xlfn.UNIQUE(B2:B33))</f>
        <v>21</v>
      </c>
      <c r="J10" s="23"/>
      <c r="K10" s="23"/>
      <c r="L10" s="23"/>
      <c r="M10" s="14" t="s">
        <v>106</v>
      </c>
    </row>
    <row r="11" spans="1:13" ht="16.899999999999999" x14ac:dyDescent="0.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H11" s="12"/>
      <c r="I11" s="13"/>
      <c r="J11" s="13"/>
      <c r="K11" s="13"/>
      <c r="L11" s="13"/>
      <c r="M11" s="14"/>
    </row>
    <row r="12" spans="1:13" ht="16.899999999999999" x14ac:dyDescent="0.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H12" s="19" t="s">
        <v>97</v>
      </c>
      <c r="I12" s="17"/>
      <c r="J12" s="17"/>
      <c r="K12" s="17"/>
      <c r="L12" s="17"/>
      <c r="M12" s="14"/>
    </row>
    <row r="13" spans="1:13" ht="16.899999999999999" x14ac:dyDescent="0.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H13" s="15"/>
      <c r="I13" s="38">
        <f>AVERAGE(D2:D33)</f>
        <v>284.375</v>
      </c>
      <c r="J13" s="38"/>
      <c r="K13" s="38"/>
      <c r="L13" s="38"/>
      <c r="M13" s="16" t="s">
        <v>107</v>
      </c>
    </row>
    <row r="14" spans="1:13" x14ac:dyDescent="0.4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13" x14ac:dyDescent="0.4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13" x14ac:dyDescent="0.4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H16" s="24" t="s">
        <v>98</v>
      </c>
      <c r="I16" s="24"/>
      <c r="J16" s="24"/>
      <c r="K16" s="24"/>
      <c r="L16" s="24"/>
      <c r="M16" s="24"/>
    </row>
    <row r="17" spans="1:13" x14ac:dyDescent="0.4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H17" s="24"/>
      <c r="I17" s="24"/>
      <c r="J17" s="24"/>
      <c r="K17" s="24"/>
      <c r="L17" s="24"/>
      <c r="M17" s="24"/>
    </row>
    <row r="18" spans="1:13" ht="16.899999999999999" x14ac:dyDescent="0.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H18" s="25" t="s">
        <v>99</v>
      </c>
      <c r="I18" s="25"/>
      <c r="J18" s="25"/>
      <c r="K18" s="25"/>
      <c r="L18" s="25"/>
      <c r="M18" s="25"/>
    </row>
    <row r="19" spans="1:13" ht="16.899999999999999" x14ac:dyDescent="0.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H19" s="12"/>
      <c r="I19" s="13"/>
      <c r="J19" s="13"/>
      <c r="K19" s="13"/>
      <c r="L19" s="13"/>
      <c r="M19" s="14"/>
    </row>
    <row r="20" spans="1:13" ht="16.899999999999999" x14ac:dyDescent="0.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H20" s="19" t="s">
        <v>100</v>
      </c>
      <c r="I20" s="17"/>
      <c r="J20" s="17"/>
      <c r="K20" s="17"/>
      <c r="L20" s="17"/>
      <c r="M20" s="14"/>
    </row>
    <row r="21" spans="1:13" ht="16.899999999999999" x14ac:dyDescent="0.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H21" s="12"/>
      <c r="I21" s="23">
        <f>MIN(D2:D33)</f>
        <v>30</v>
      </c>
      <c r="J21" s="23"/>
      <c r="K21" s="23"/>
      <c r="L21" s="23"/>
      <c r="M21" s="14" t="s">
        <v>108</v>
      </c>
    </row>
    <row r="22" spans="1:13" ht="16.899999999999999" x14ac:dyDescent="0.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H22" s="12"/>
      <c r="I22" s="13"/>
      <c r="J22" s="13"/>
      <c r="K22" s="13"/>
      <c r="L22" s="13"/>
      <c r="M22" s="14"/>
    </row>
    <row r="23" spans="1:13" ht="16.899999999999999" x14ac:dyDescent="0.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H23" s="19" t="s">
        <v>101</v>
      </c>
      <c r="I23" s="17"/>
      <c r="J23" s="17"/>
      <c r="K23" s="17"/>
      <c r="L23" s="17"/>
      <c r="M23" s="14"/>
    </row>
    <row r="24" spans="1:13" ht="16.899999999999999" x14ac:dyDescent="0.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H24" s="15"/>
      <c r="I24" s="38">
        <f>MAX(D2:D33)</f>
        <v>1000</v>
      </c>
      <c r="J24" s="38"/>
      <c r="K24" s="38"/>
      <c r="L24" s="38"/>
      <c r="M24" s="16" t="s">
        <v>109</v>
      </c>
    </row>
    <row r="25" spans="1:13" x14ac:dyDescent="0.45">
      <c r="A25" s="2" t="s">
        <v>73</v>
      </c>
      <c r="B25" s="2" t="s">
        <v>19</v>
      </c>
      <c r="C25" s="2" t="s">
        <v>74</v>
      </c>
      <c r="D25" s="2">
        <v>800</v>
      </c>
      <c r="E25" s="2">
        <v>45</v>
      </c>
      <c r="F25" s="2" t="s">
        <v>9</v>
      </c>
    </row>
    <row r="26" spans="1:13" x14ac:dyDescent="0.45">
      <c r="A26" s="3" t="s">
        <v>75</v>
      </c>
      <c r="B26" s="3" t="s">
        <v>59</v>
      </c>
      <c r="C26" s="3" t="s">
        <v>76</v>
      </c>
      <c r="D26" s="3">
        <v>130</v>
      </c>
      <c r="E26" s="3">
        <v>25</v>
      </c>
      <c r="F26" s="3" t="s">
        <v>13</v>
      </c>
    </row>
    <row r="27" spans="1:13" x14ac:dyDescent="0.45">
      <c r="A27" s="2" t="s">
        <v>77</v>
      </c>
      <c r="B27" s="2" t="s">
        <v>32</v>
      </c>
      <c r="C27" s="2" t="s">
        <v>78</v>
      </c>
      <c r="D27" s="2">
        <v>400</v>
      </c>
      <c r="E27" s="2">
        <v>40</v>
      </c>
      <c r="F27" s="2" t="s">
        <v>17</v>
      </c>
    </row>
    <row r="28" spans="1:13" x14ac:dyDescent="0.45">
      <c r="A28" s="3" t="s">
        <v>48</v>
      </c>
      <c r="B28" s="3" t="s">
        <v>26</v>
      </c>
      <c r="C28" s="3" t="s">
        <v>49</v>
      </c>
      <c r="D28" s="3">
        <v>230</v>
      </c>
      <c r="E28" s="3">
        <v>20</v>
      </c>
      <c r="F28" s="3" t="s">
        <v>9</v>
      </c>
    </row>
    <row r="29" spans="1:13" x14ac:dyDescent="0.45">
      <c r="A29" s="2" t="s">
        <v>79</v>
      </c>
      <c r="B29" s="2" t="s">
        <v>80</v>
      </c>
      <c r="C29" s="2" t="s">
        <v>81</v>
      </c>
      <c r="D29" s="2">
        <v>60</v>
      </c>
      <c r="E29" s="2">
        <v>30</v>
      </c>
      <c r="F29" s="2" t="s">
        <v>13</v>
      </c>
    </row>
    <row r="30" spans="1:13" x14ac:dyDescent="0.45">
      <c r="A30" s="3" t="s">
        <v>82</v>
      </c>
      <c r="B30" s="3" t="s">
        <v>83</v>
      </c>
      <c r="C30" s="3" t="s">
        <v>84</v>
      </c>
      <c r="D30" s="3">
        <v>40</v>
      </c>
      <c r="E30" s="3">
        <v>10</v>
      </c>
      <c r="F30" s="3" t="s">
        <v>17</v>
      </c>
    </row>
    <row r="31" spans="1:13" x14ac:dyDescent="0.45">
      <c r="A31" s="2" t="s">
        <v>85</v>
      </c>
      <c r="B31" s="2" t="s">
        <v>71</v>
      </c>
      <c r="C31" s="2" t="s">
        <v>86</v>
      </c>
      <c r="D31" s="2">
        <v>130</v>
      </c>
      <c r="E31" s="2">
        <v>5</v>
      </c>
      <c r="F31" s="2" t="s">
        <v>9</v>
      </c>
    </row>
    <row r="32" spans="1:13" x14ac:dyDescent="0.45">
      <c r="A32" s="3" t="s">
        <v>87</v>
      </c>
      <c r="B32" s="3" t="s">
        <v>88</v>
      </c>
      <c r="C32" s="3" t="s">
        <v>89</v>
      </c>
      <c r="D32" s="3">
        <v>50</v>
      </c>
      <c r="E32" s="3">
        <v>50</v>
      </c>
      <c r="F32" s="3" t="s">
        <v>13</v>
      </c>
    </row>
    <row r="33" spans="1:6" x14ac:dyDescent="0.45">
      <c r="A33" s="2" t="s">
        <v>90</v>
      </c>
      <c r="B33" s="2" t="s">
        <v>91</v>
      </c>
      <c r="C33" s="2" t="s">
        <v>92</v>
      </c>
      <c r="D33" s="2">
        <v>100</v>
      </c>
      <c r="E33" s="2">
        <v>20</v>
      </c>
      <c r="F33" s="2" t="s">
        <v>53</v>
      </c>
    </row>
  </sheetData>
  <autoFilter ref="A1:F1" xr:uid="{DCB53FDB-8DEF-406E-BEAC-3494AF7ED285}"/>
  <mergeCells count="9">
    <mergeCell ref="I10:L10"/>
    <mergeCell ref="I7:L7"/>
    <mergeCell ref="H2:M3"/>
    <mergeCell ref="H4:M4"/>
    <mergeCell ref="I24:L24"/>
    <mergeCell ref="I13:L13"/>
    <mergeCell ref="I21:L21"/>
    <mergeCell ref="H16:M17"/>
    <mergeCell ref="H18:M18"/>
  </mergeCells>
  <conditionalFormatting sqref="A1:F1">
    <cfRule type="duplicateValues" dxfId="1" priority="3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903A-1536-41E7-97B9-86FBE273BDDF}">
  <dimension ref="A1:S42"/>
  <sheetViews>
    <sheetView tabSelected="1" topLeftCell="D1" workbookViewId="0">
      <selection activeCell="L25" sqref="L25:P26"/>
    </sheetView>
  </sheetViews>
  <sheetFormatPr defaultRowHeight="14.25" x14ac:dyDescent="0.45"/>
  <cols>
    <col min="1" max="3" width="14.46484375" bestFit="1" customWidth="1"/>
    <col min="4" max="4" width="8.19921875" customWidth="1"/>
    <col min="5" max="5" width="8.86328125" customWidth="1"/>
    <col min="6" max="7" width="14.46484375" bestFit="1" customWidth="1"/>
    <col min="8" max="8" width="8.46484375" bestFit="1" customWidth="1"/>
    <col min="9" max="9" width="12.796875" customWidth="1"/>
    <col min="10" max="10" width="10.53125" bestFit="1" customWidth="1"/>
    <col min="11" max="11" width="8.46484375" customWidth="1"/>
    <col min="12" max="12" width="15.1328125" customWidth="1"/>
    <col min="13" max="13" width="13.53125" customWidth="1"/>
    <col min="14" max="14" width="9.796875" customWidth="1"/>
    <col min="15" max="15" width="10" customWidth="1"/>
    <col min="16" max="16" width="10.59765625" bestFit="1" customWidth="1"/>
    <col min="17" max="17" width="9.06640625" customWidth="1"/>
  </cols>
  <sheetData>
    <row r="1" spans="1:19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103</v>
      </c>
      <c r="H1" s="1" t="s">
        <v>120</v>
      </c>
      <c r="I1" s="1" t="s">
        <v>121</v>
      </c>
      <c r="J1" s="1" t="s">
        <v>122</v>
      </c>
      <c r="K1" s="9"/>
    </row>
    <row r="2" spans="1:19" x14ac:dyDescent="0.45">
      <c r="A2" s="6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2" t="str">
        <f>IF(D2&gt;=500,"High Price","Standard Price")</f>
        <v>High Price</v>
      </c>
      <c r="H2" s="2" t="str">
        <f t="shared" ref="H2:H33" si="0">LEFT(A2,2)</f>
        <v>28</v>
      </c>
      <c r="I2" s="2" t="str">
        <f t="shared" ref="I2:I33" si="1">RIGHT(A2,2)</f>
        <v>US</v>
      </c>
      <c r="J2" s="2" t="str">
        <f>MID(A2,4,3)</f>
        <v>JAN</v>
      </c>
      <c r="K2" s="10"/>
    </row>
    <row r="3" spans="1:19" x14ac:dyDescent="0.45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  <c r="G3" s="3" t="str">
        <f t="shared" ref="G3:G33" si="2">IF(D3&gt;=500,"High Price","Standard Price")</f>
        <v>Standard Price</v>
      </c>
      <c r="H3" s="3" t="str">
        <f t="shared" si="0"/>
        <v>15</v>
      </c>
      <c r="I3" s="3" t="str">
        <f t="shared" si="1"/>
        <v>US</v>
      </c>
      <c r="J3" s="3" t="str">
        <f t="shared" ref="J3:J33" si="3">MID(A3,4,3)</f>
        <v>FEB</v>
      </c>
      <c r="K3" s="10"/>
      <c r="L3" s="28" t="s">
        <v>110</v>
      </c>
      <c r="M3" s="28"/>
      <c r="N3" s="28"/>
      <c r="O3" s="28"/>
      <c r="P3" s="28"/>
      <c r="S3" s="5"/>
    </row>
    <row r="4" spans="1:19" x14ac:dyDescent="0.45">
      <c r="A4" s="6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2" t="str">
        <f t="shared" si="2"/>
        <v>Standard Price</v>
      </c>
      <c r="H4" s="2" t="str">
        <f t="shared" si="0"/>
        <v>03</v>
      </c>
      <c r="I4" s="2" t="str">
        <f t="shared" si="1"/>
        <v>US</v>
      </c>
      <c r="J4" s="2" t="str">
        <f t="shared" si="3"/>
        <v>MAR</v>
      </c>
      <c r="K4" s="10"/>
      <c r="L4" s="28"/>
      <c r="M4" s="28"/>
      <c r="N4" s="28"/>
      <c r="O4" s="28"/>
      <c r="P4" s="28"/>
      <c r="S4" s="6" t="s">
        <v>22</v>
      </c>
    </row>
    <row r="5" spans="1:19" x14ac:dyDescent="0.45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  <c r="G5" s="3" t="str">
        <f t="shared" si="2"/>
        <v>High Price</v>
      </c>
      <c r="H5" s="3" t="str">
        <f t="shared" si="0"/>
        <v>11</v>
      </c>
      <c r="I5" s="3" t="str">
        <f t="shared" si="1"/>
        <v>US</v>
      </c>
      <c r="J5" s="3" t="str">
        <f t="shared" si="3"/>
        <v>APR</v>
      </c>
      <c r="K5" s="10"/>
      <c r="L5" s="29" t="s">
        <v>102</v>
      </c>
      <c r="M5" s="29"/>
      <c r="N5" s="29"/>
      <c r="O5" s="29"/>
      <c r="P5" s="29"/>
      <c r="S5" s="6" t="s">
        <v>29</v>
      </c>
    </row>
    <row r="6" spans="1:19" x14ac:dyDescent="0.45">
      <c r="A6" s="6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2" t="str">
        <f t="shared" si="2"/>
        <v>Standard Price</v>
      </c>
      <c r="H6" s="2" t="str">
        <f t="shared" si="0"/>
        <v>22</v>
      </c>
      <c r="I6" s="2" t="str">
        <f t="shared" si="1"/>
        <v>US</v>
      </c>
      <c r="J6" s="2" t="str">
        <f t="shared" si="3"/>
        <v>MAY</v>
      </c>
      <c r="K6" s="10"/>
      <c r="S6" s="5"/>
    </row>
    <row r="7" spans="1:19" ht="14.25" customHeight="1" x14ac:dyDescent="0.45">
      <c r="A7" s="5" t="s">
        <v>25</v>
      </c>
      <c r="B7" s="5" t="s">
        <v>26</v>
      </c>
      <c r="C7" s="5" t="s">
        <v>27</v>
      </c>
      <c r="D7" s="5">
        <v>200</v>
      </c>
      <c r="E7" s="5">
        <v>45</v>
      </c>
      <c r="F7" s="5" t="s">
        <v>9</v>
      </c>
      <c r="G7" s="3" t="str">
        <f t="shared" si="2"/>
        <v>Standard Price</v>
      </c>
      <c r="H7" s="3" t="str">
        <f t="shared" si="0"/>
        <v>07</v>
      </c>
      <c r="I7" s="3" t="str">
        <f t="shared" si="1"/>
        <v>UK</v>
      </c>
      <c r="J7" s="3" t="str">
        <f t="shared" si="3"/>
        <v>JUN</v>
      </c>
      <c r="K7" s="10"/>
      <c r="L7" s="26" t="s">
        <v>114</v>
      </c>
      <c r="M7" s="26"/>
      <c r="N7" s="26"/>
      <c r="O7" s="26"/>
      <c r="S7" s="5" t="s">
        <v>11</v>
      </c>
    </row>
    <row r="8" spans="1:19" x14ac:dyDescent="0.45">
      <c r="A8" s="6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2" t="str">
        <f t="shared" si="2"/>
        <v>Standard Price</v>
      </c>
      <c r="H8" s="2" t="str">
        <f t="shared" si="0"/>
        <v>19</v>
      </c>
      <c r="I8" s="2" t="str">
        <f t="shared" si="1"/>
        <v>UK</v>
      </c>
      <c r="J8" s="2" t="str">
        <f t="shared" si="3"/>
        <v>JUL</v>
      </c>
      <c r="K8" s="10"/>
      <c r="L8" s="26"/>
      <c r="M8" s="26"/>
      <c r="N8" s="26"/>
      <c r="O8" s="26"/>
      <c r="S8" s="5"/>
    </row>
    <row r="9" spans="1:19" x14ac:dyDescent="0.45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  <c r="G9" s="3" t="str">
        <f t="shared" si="2"/>
        <v>Standard Price</v>
      </c>
      <c r="H9" s="3" t="str">
        <f t="shared" si="0"/>
        <v>23</v>
      </c>
      <c r="I9" s="3" t="str">
        <f t="shared" si="1"/>
        <v>UK</v>
      </c>
      <c r="J9" s="3" t="str">
        <f t="shared" si="3"/>
        <v>AUG</v>
      </c>
      <c r="K9" s="10"/>
      <c r="L9" s="26"/>
      <c r="M9" s="26"/>
      <c r="N9" s="26"/>
      <c r="O9" s="26"/>
      <c r="S9" s="5"/>
    </row>
    <row r="10" spans="1:19" x14ac:dyDescent="0.45">
      <c r="A10" s="6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2" t="str">
        <f t="shared" si="2"/>
        <v>High Price</v>
      </c>
      <c r="H10" s="2" t="str">
        <f t="shared" si="0"/>
        <v>05</v>
      </c>
      <c r="I10" s="2" t="str">
        <f t="shared" si="1"/>
        <v>UK</v>
      </c>
      <c r="J10" s="2" t="str">
        <f t="shared" si="3"/>
        <v>SEP</v>
      </c>
      <c r="K10" s="10"/>
      <c r="S10" s="6" t="s">
        <v>80</v>
      </c>
    </row>
    <row r="11" spans="1:19" x14ac:dyDescent="0.45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24</v>
      </c>
      <c r="G11" s="3" t="str">
        <f t="shared" si="2"/>
        <v>Standard Price</v>
      </c>
      <c r="H11" s="3" t="str">
        <f t="shared" si="0"/>
        <v>14</v>
      </c>
      <c r="I11" s="3" t="str">
        <f t="shared" si="1"/>
        <v>UK</v>
      </c>
      <c r="J11" s="3" t="str">
        <f t="shared" si="3"/>
        <v>OCT</v>
      </c>
      <c r="K11" s="10"/>
      <c r="L11" t="s">
        <v>104</v>
      </c>
      <c r="S11" s="5" t="s">
        <v>83</v>
      </c>
    </row>
    <row r="12" spans="1:19" x14ac:dyDescent="0.45">
      <c r="A12" s="6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2" t="str">
        <f t="shared" si="2"/>
        <v>High Price</v>
      </c>
      <c r="H12" s="2" t="str">
        <f t="shared" si="0"/>
        <v>17</v>
      </c>
      <c r="I12" s="2" t="str">
        <f t="shared" si="1"/>
        <v>IN</v>
      </c>
      <c r="J12" s="2" t="str">
        <f t="shared" si="3"/>
        <v>JUN</v>
      </c>
      <c r="K12" s="10"/>
      <c r="L12" s="28" t="s">
        <v>111</v>
      </c>
      <c r="M12" s="28"/>
      <c r="N12" s="28"/>
      <c r="O12" s="28"/>
      <c r="P12" s="28"/>
      <c r="S12" s="5" t="s">
        <v>88</v>
      </c>
    </row>
    <row r="13" spans="1:19" x14ac:dyDescent="0.45">
      <c r="A13" s="5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5" t="s">
        <v>13</v>
      </c>
      <c r="G13" s="3" t="str">
        <f t="shared" si="2"/>
        <v>Standard Price</v>
      </c>
      <c r="H13" s="3" t="str">
        <f t="shared" si="0"/>
        <v>25</v>
      </c>
      <c r="I13" s="3" t="str">
        <f t="shared" si="1"/>
        <v>AU</v>
      </c>
      <c r="J13" s="3" t="str">
        <f t="shared" si="3"/>
        <v>NOV</v>
      </c>
      <c r="K13" s="10"/>
      <c r="L13" s="28"/>
      <c r="M13" s="28"/>
      <c r="N13" s="28"/>
      <c r="O13" s="28"/>
      <c r="P13" s="28"/>
    </row>
    <row r="14" spans="1:19" x14ac:dyDescent="0.45">
      <c r="A14" s="6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2" t="str">
        <f t="shared" si="2"/>
        <v>Standard Price</v>
      </c>
      <c r="H14" s="2" t="str">
        <f t="shared" si="0"/>
        <v>08</v>
      </c>
      <c r="I14" s="2" t="str">
        <f t="shared" si="1"/>
        <v>DE</v>
      </c>
      <c r="J14" s="2" t="str">
        <f t="shared" si="3"/>
        <v>DEC</v>
      </c>
      <c r="K14" s="10"/>
      <c r="L14" s="29" t="s">
        <v>112</v>
      </c>
      <c r="M14" s="29"/>
      <c r="N14" s="29"/>
      <c r="O14" s="29"/>
      <c r="P14" s="29"/>
    </row>
    <row r="15" spans="1:19" x14ac:dyDescent="0.45">
      <c r="A15" s="5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5" t="s">
        <v>9</v>
      </c>
      <c r="G15" s="3" t="str">
        <f t="shared" si="2"/>
        <v>Standard Price</v>
      </c>
      <c r="H15" s="3" t="str">
        <f t="shared" si="0"/>
        <v>18</v>
      </c>
      <c r="I15" s="3" t="str">
        <f t="shared" si="1"/>
        <v>CA</v>
      </c>
      <c r="J15" s="3" t="str">
        <f t="shared" si="3"/>
        <v>FEB</v>
      </c>
      <c r="K15" s="10"/>
    </row>
    <row r="16" spans="1:19" x14ac:dyDescent="0.45">
      <c r="A16" s="6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2" t="str">
        <f t="shared" si="2"/>
        <v>Standard Price</v>
      </c>
      <c r="H16" s="2" t="str">
        <f t="shared" si="0"/>
        <v>16</v>
      </c>
      <c r="I16" s="2" t="str">
        <f t="shared" si="1"/>
        <v>ES</v>
      </c>
      <c r="J16" s="2" t="str">
        <f t="shared" si="3"/>
        <v>APR</v>
      </c>
      <c r="K16" s="10"/>
      <c r="L16" s="26" t="s">
        <v>113</v>
      </c>
      <c r="M16" s="26"/>
      <c r="N16" s="26"/>
      <c r="O16" s="26"/>
      <c r="P16" s="26"/>
    </row>
    <row r="17" spans="1:16" x14ac:dyDescent="0.45">
      <c r="A17" s="5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5" t="s">
        <v>53</v>
      </c>
      <c r="G17" s="3" t="str">
        <f t="shared" si="2"/>
        <v>Standard Price</v>
      </c>
      <c r="H17" s="3" t="str">
        <f t="shared" si="0"/>
        <v>21</v>
      </c>
      <c r="I17" s="3" t="str">
        <f t="shared" si="1"/>
        <v>CA</v>
      </c>
      <c r="J17" s="3" t="str">
        <f t="shared" si="3"/>
        <v>AUG</v>
      </c>
      <c r="K17" s="10"/>
      <c r="L17" s="26"/>
      <c r="M17" s="26"/>
      <c r="N17" s="26"/>
      <c r="O17" s="26"/>
      <c r="P17" s="26"/>
    </row>
    <row r="18" spans="1:16" x14ac:dyDescent="0.45">
      <c r="A18" s="6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2" t="str">
        <f t="shared" si="2"/>
        <v>Standard Price</v>
      </c>
      <c r="H18" s="2" t="str">
        <f t="shared" si="0"/>
        <v>20</v>
      </c>
      <c r="I18" s="2" t="str">
        <f t="shared" si="1"/>
        <v>CN</v>
      </c>
      <c r="J18" s="2" t="str">
        <f t="shared" si="3"/>
        <v>AUG</v>
      </c>
      <c r="K18" s="10"/>
      <c r="L18" s="39">
        <f>SUMIF(F1:F32,"Electronics",D1:D32)</f>
        <v>7100</v>
      </c>
      <c r="N18" t="s">
        <v>116</v>
      </c>
    </row>
    <row r="19" spans="1:16" x14ac:dyDescent="0.45">
      <c r="A19" s="5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5" t="s">
        <v>9</v>
      </c>
      <c r="G19" s="3" t="str">
        <f t="shared" si="2"/>
        <v>High Price</v>
      </c>
      <c r="H19" s="3" t="str">
        <f t="shared" si="0"/>
        <v>27</v>
      </c>
      <c r="I19" s="3" t="str">
        <f t="shared" si="1"/>
        <v>IT</v>
      </c>
      <c r="J19" s="3" t="str">
        <f t="shared" si="3"/>
        <v>JAN</v>
      </c>
      <c r="K19" s="10"/>
    </row>
    <row r="20" spans="1:16" x14ac:dyDescent="0.45">
      <c r="A20" s="6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2" t="str">
        <f t="shared" si="2"/>
        <v>Standard Price</v>
      </c>
      <c r="H20" s="2" t="str">
        <f t="shared" si="0"/>
        <v>01</v>
      </c>
      <c r="I20" s="2" t="str">
        <f t="shared" si="1"/>
        <v>UK</v>
      </c>
      <c r="J20" s="2" t="str">
        <f t="shared" si="3"/>
        <v>MAR</v>
      </c>
      <c r="K20" s="10"/>
      <c r="L20" s="26" t="s">
        <v>115</v>
      </c>
      <c r="M20" s="26"/>
      <c r="N20" s="26"/>
      <c r="O20" s="26"/>
      <c r="P20" s="26"/>
    </row>
    <row r="21" spans="1:16" x14ac:dyDescent="0.45">
      <c r="A21" s="5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5" t="s">
        <v>24</v>
      </c>
      <c r="G21" s="7" t="str">
        <f t="shared" si="2"/>
        <v>Standard Price</v>
      </c>
      <c r="H21" s="7" t="str">
        <f t="shared" si="0"/>
        <v>14</v>
      </c>
      <c r="I21" s="7" t="str">
        <f t="shared" si="1"/>
        <v>US</v>
      </c>
      <c r="J21" s="7" t="str">
        <f t="shared" si="3"/>
        <v>AUG</v>
      </c>
      <c r="K21" s="10"/>
      <c r="L21" s="26"/>
      <c r="M21" s="26"/>
      <c r="N21" s="26"/>
      <c r="O21" s="26"/>
      <c r="P21" s="26"/>
    </row>
    <row r="22" spans="1:16" x14ac:dyDescent="0.45">
      <c r="A22" s="6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8" t="str">
        <f t="shared" si="2"/>
        <v>High Price</v>
      </c>
      <c r="H22" s="8" t="str">
        <f t="shared" si="0"/>
        <v>14</v>
      </c>
      <c r="I22" s="8" t="str">
        <f t="shared" si="1"/>
        <v>RU</v>
      </c>
      <c r="J22" s="8" t="str">
        <f t="shared" si="3"/>
        <v>MAY</v>
      </c>
      <c r="K22" s="11"/>
      <c r="L22" s="40">
        <f>COUNTIF(D2:D33,"&lt;100")</f>
        <v>10</v>
      </c>
      <c r="M22" s="40"/>
      <c r="N22" s="27" t="s">
        <v>117</v>
      </c>
      <c r="O22" s="27"/>
      <c r="P22" s="27"/>
    </row>
    <row r="23" spans="1:16" x14ac:dyDescent="0.45">
      <c r="A23" s="5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5" t="s">
        <v>17</v>
      </c>
      <c r="G23" s="7" t="str">
        <f t="shared" si="2"/>
        <v>Standard Price</v>
      </c>
      <c r="H23" s="7" t="str">
        <f t="shared" si="0"/>
        <v>09</v>
      </c>
      <c r="I23" s="7" t="str">
        <f t="shared" si="1"/>
        <v>CA</v>
      </c>
      <c r="J23" s="7" t="str">
        <f t="shared" si="3"/>
        <v>JAN</v>
      </c>
      <c r="K23" s="10"/>
    </row>
    <row r="24" spans="1:16" x14ac:dyDescent="0.45">
      <c r="A24" s="6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2" t="str">
        <f t="shared" si="2"/>
        <v>Standard Price</v>
      </c>
      <c r="H24" s="2" t="str">
        <f t="shared" si="0"/>
        <v>19</v>
      </c>
      <c r="I24" s="2" t="str">
        <f t="shared" si="1"/>
        <v>BR</v>
      </c>
      <c r="J24" s="2" t="str">
        <f t="shared" si="3"/>
        <v>JUL</v>
      </c>
      <c r="K24" s="10"/>
    </row>
    <row r="25" spans="1:16" x14ac:dyDescent="0.45">
      <c r="A25" s="6" t="s">
        <v>73</v>
      </c>
      <c r="B25" s="6" t="s">
        <v>19</v>
      </c>
      <c r="C25" s="6" t="s">
        <v>74</v>
      </c>
      <c r="D25" s="6">
        <v>800</v>
      </c>
      <c r="E25" s="6">
        <v>45</v>
      </c>
      <c r="F25" s="6" t="s">
        <v>9</v>
      </c>
      <c r="G25" s="2" t="str">
        <f t="shared" si="2"/>
        <v>High Price</v>
      </c>
      <c r="H25" s="2" t="str">
        <f t="shared" si="0"/>
        <v>29</v>
      </c>
      <c r="I25" s="2" t="str">
        <f t="shared" si="1"/>
        <v>CA</v>
      </c>
      <c r="J25" s="2" t="str">
        <f t="shared" si="3"/>
        <v>SEP</v>
      </c>
      <c r="K25" s="10"/>
      <c r="L25" s="28" t="s">
        <v>119</v>
      </c>
      <c r="M25" s="28"/>
      <c r="N25" s="28"/>
      <c r="O25" s="28"/>
      <c r="P25" s="28"/>
    </row>
    <row r="26" spans="1:16" x14ac:dyDescent="0.45">
      <c r="A26" s="5" t="s">
        <v>75</v>
      </c>
      <c r="B26" s="5" t="s">
        <v>59</v>
      </c>
      <c r="C26" s="5" t="s">
        <v>76</v>
      </c>
      <c r="D26" s="5">
        <v>130</v>
      </c>
      <c r="E26" s="5">
        <v>25</v>
      </c>
      <c r="F26" s="5" t="s">
        <v>13</v>
      </c>
      <c r="G26" s="3" t="str">
        <f t="shared" si="2"/>
        <v>Standard Price</v>
      </c>
      <c r="H26" s="3" t="str">
        <f t="shared" si="0"/>
        <v>03</v>
      </c>
      <c r="I26" s="3" t="str">
        <f t="shared" si="1"/>
        <v>CA</v>
      </c>
      <c r="J26" s="3" t="str">
        <f t="shared" si="3"/>
        <v>JUN</v>
      </c>
      <c r="K26" s="10"/>
      <c r="L26" s="28"/>
      <c r="M26" s="28"/>
      <c r="N26" s="28"/>
      <c r="O26" s="28"/>
      <c r="P26" s="28"/>
    </row>
    <row r="27" spans="1:16" x14ac:dyDescent="0.45">
      <c r="A27" s="6" t="s">
        <v>77</v>
      </c>
      <c r="B27" s="6" t="s">
        <v>32</v>
      </c>
      <c r="C27" s="6" t="s">
        <v>78</v>
      </c>
      <c r="D27" s="6">
        <v>400</v>
      </c>
      <c r="E27" s="6">
        <v>40</v>
      </c>
      <c r="F27" s="6" t="s">
        <v>17</v>
      </c>
      <c r="G27" s="2" t="str">
        <f t="shared" si="2"/>
        <v>Standard Price</v>
      </c>
      <c r="H27" s="2" t="str">
        <f t="shared" si="0"/>
        <v>11</v>
      </c>
      <c r="I27" s="2" t="str">
        <f t="shared" si="1"/>
        <v>CA</v>
      </c>
      <c r="J27" s="2" t="str">
        <f t="shared" si="3"/>
        <v>JUL</v>
      </c>
      <c r="K27" s="10"/>
      <c r="L27" s="29" t="s">
        <v>118</v>
      </c>
      <c r="M27" s="29"/>
      <c r="N27" s="29"/>
      <c r="O27" s="29"/>
      <c r="P27" s="29"/>
    </row>
    <row r="28" spans="1:16" x14ac:dyDescent="0.45">
      <c r="A28" s="5" t="s">
        <v>48</v>
      </c>
      <c r="B28" s="5" t="s">
        <v>26</v>
      </c>
      <c r="C28" s="5" t="s">
        <v>49</v>
      </c>
      <c r="D28" s="5">
        <v>230</v>
      </c>
      <c r="E28" s="5">
        <v>20</v>
      </c>
      <c r="F28" s="5" t="s">
        <v>9</v>
      </c>
      <c r="G28" s="3" t="str">
        <f t="shared" si="2"/>
        <v>Standard Price</v>
      </c>
      <c r="H28" s="3" t="str">
        <f t="shared" si="0"/>
        <v>16</v>
      </c>
      <c r="I28" s="3" t="str">
        <f t="shared" si="1"/>
        <v>ES</v>
      </c>
      <c r="J28" s="3" t="str">
        <f t="shared" si="3"/>
        <v>APR</v>
      </c>
      <c r="K28" s="10"/>
    </row>
    <row r="29" spans="1:16" x14ac:dyDescent="0.45">
      <c r="A29" s="6" t="s">
        <v>79</v>
      </c>
      <c r="B29" s="6" t="s">
        <v>80</v>
      </c>
      <c r="C29" s="6" t="s">
        <v>81</v>
      </c>
      <c r="D29" s="6">
        <v>60</v>
      </c>
      <c r="E29" s="6">
        <v>30</v>
      </c>
      <c r="F29" s="6" t="s">
        <v>13</v>
      </c>
      <c r="G29" s="2" t="str">
        <f t="shared" si="2"/>
        <v>Standard Price</v>
      </c>
      <c r="H29" s="2" t="str">
        <f t="shared" si="0"/>
        <v>07</v>
      </c>
      <c r="I29" s="2" t="str">
        <f t="shared" si="1"/>
        <v>CA</v>
      </c>
      <c r="J29" s="2" t="str">
        <f t="shared" si="3"/>
        <v>MAR</v>
      </c>
      <c r="K29" s="10"/>
      <c r="L29" s="26" t="s">
        <v>123</v>
      </c>
      <c r="M29" s="26"/>
      <c r="N29" s="26"/>
      <c r="O29" s="26"/>
      <c r="P29" s="26"/>
    </row>
    <row r="30" spans="1:16" x14ac:dyDescent="0.45">
      <c r="A30" s="5" t="s">
        <v>82</v>
      </c>
      <c r="B30" s="5" t="s">
        <v>83</v>
      </c>
      <c r="C30" s="5" t="s">
        <v>84</v>
      </c>
      <c r="D30" s="5">
        <v>40</v>
      </c>
      <c r="E30" s="5">
        <v>10</v>
      </c>
      <c r="F30" s="5" t="s">
        <v>17</v>
      </c>
      <c r="G30" s="3" t="str">
        <f t="shared" si="2"/>
        <v>Standard Price</v>
      </c>
      <c r="H30" s="3" t="str">
        <f t="shared" si="0"/>
        <v>13</v>
      </c>
      <c r="I30" s="3" t="str">
        <f t="shared" si="1"/>
        <v>CA</v>
      </c>
      <c r="J30" s="3" t="str">
        <f t="shared" si="3"/>
        <v>APR</v>
      </c>
      <c r="K30" s="10"/>
      <c r="L30" s="26"/>
      <c r="M30" s="26"/>
      <c r="N30" s="26"/>
      <c r="O30" s="26"/>
      <c r="P30" s="26"/>
    </row>
    <row r="31" spans="1:16" x14ac:dyDescent="0.45">
      <c r="A31" s="6" t="s">
        <v>85</v>
      </c>
      <c r="B31" s="6" t="s">
        <v>71</v>
      </c>
      <c r="C31" s="6" t="s">
        <v>86</v>
      </c>
      <c r="D31" s="6">
        <v>130</v>
      </c>
      <c r="E31" s="6">
        <v>5</v>
      </c>
      <c r="F31" s="6" t="s">
        <v>9</v>
      </c>
      <c r="G31" s="2" t="str">
        <f t="shared" si="2"/>
        <v>Standard Price</v>
      </c>
      <c r="H31" s="2" t="str">
        <f t="shared" si="0"/>
        <v>24</v>
      </c>
      <c r="I31" s="2" t="str">
        <f t="shared" si="1"/>
        <v>CA</v>
      </c>
      <c r="J31" s="2" t="str">
        <f t="shared" si="3"/>
        <v>MAY</v>
      </c>
      <c r="K31" s="10"/>
    </row>
    <row r="32" spans="1:16" x14ac:dyDescent="0.45">
      <c r="A32" s="5" t="s">
        <v>87</v>
      </c>
      <c r="B32" s="5" t="s">
        <v>88</v>
      </c>
      <c r="C32" s="5" t="s">
        <v>89</v>
      </c>
      <c r="D32" s="5">
        <v>50</v>
      </c>
      <c r="E32" s="5">
        <v>50</v>
      </c>
      <c r="F32" s="5" t="s">
        <v>13</v>
      </c>
      <c r="G32" s="3" t="str">
        <f t="shared" si="2"/>
        <v>Standard Price</v>
      </c>
      <c r="H32" s="3" t="str">
        <f t="shared" si="0"/>
        <v>02</v>
      </c>
      <c r="I32" s="3" t="str">
        <f t="shared" si="1"/>
        <v>CA</v>
      </c>
      <c r="J32" s="3" t="str">
        <f t="shared" si="3"/>
        <v>DEC</v>
      </c>
      <c r="K32" s="10"/>
      <c r="M32" t="s">
        <v>124</v>
      </c>
    </row>
    <row r="33" spans="1:16" x14ac:dyDescent="0.45">
      <c r="A33" s="7" t="s">
        <v>90</v>
      </c>
      <c r="B33" s="7" t="s">
        <v>91</v>
      </c>
      <c r="C33" s="7" t="s">
        <v>92</v>
      </c>
      <c r="D33" s="6">
        <v>100</v>
      </c>
      <c r="E33" s="6">
        <v>20</v>
      </c>
      <c r="F33" s="6" t="s">
        <v>53</v>
      </c>
      <c r="G33" s="6" t="str">
        <f t="shared" si="2"/>
        <v>Standard Price</v>
      </c>
      <c r="H33" s="2" t="str">
        <f t="shared" si="0"/>
        <v>09</v>
      </c>
      <c r="I33" s="2" t="str">
        <f t="shared" si="1"/>
        <v>FR</v>
      </c>
      <c r="J33" s="2" t="str">
        <f t="shared" si="3"/>
        <v>JUL</v>
      </c>
      <c r="K33" s="10"/>
    </row>
    <row r="34" spans="1:16" x14ac:dyDescent="0.45">
      <c r="L34" s="26" t="s">
        <v>126</v>
      </c>
      <c r="M34" s="26"/>
      <c r="N34" s="26"/>
      <c r="O34" s="26"/>
      <c r="P34" s="26"/>
    </row>
    <row r="35" spans="1:16" x14ac:dyDescent="0.45">
      <c r="L35" s="26"/>
      <c r="M35" s="26"/>
      <c r="N35" s="26"/>
      <c r="O35" s="26"/>
      <c r="P35" s="26"/>
    </row>
    <row r="37" spans="1:16" x14ac:dyDescent="0.45">
      <c r="M37" t="s">
        <v>125</v>
      </c>
    </row>
    <row r="39" spans="1:16" x14ac:dyDescent="0.45">
      <c r="L39" s="26" t="s">
        <v>127</v>
      </c>
      <c r="M39" s="26"/>
      <c r="N39" s="26"/>
      <c r="O39" s="26"/>
      <c r="P39" s="26"/>
    </row>
    <row r="40" spans="1:16" x14ac:dyDescent="0.45">
      <c r="L40" s="26"/>
      <c r="M40" s="26"/>
      <c r="N40" s="26"/>
      <c r="O40" s="26"/>
      <c r="P40" s="26"/>
    </row>
    <row r="42" spans="1:16" x14ac:dyDescent="0.45">
      <c r="M42" t="s">
        <v>128</v>
      </c>
    </row>
  </sheetData>
  <autoFilter ref="A1:J1" xr:uid="{7A15903A-1536-41E7-97B9-86FBE273BDDF}"/>
  <mergeCells count="14">
    <mergeCell ref="L3:P4"/>
    <mergeCell ref="L5:P5"/>
    <mergeCell ref="L12:P13"/>
    <mergeCell ref="L14:P14"/>
    <mergeCell ref="L16:P17"/>
    <mergeCell ref="L7:O9"/>
    <mergeCell ref="L29:P30"/>
    <mergeCell ref="L34:P35"/>
    <mergeCell ref="L39:P40"/>
    <mergeCell ref="L20:P21"/>
    <mergeCell ref="L22:M22"/>
    <mergeCell ref="N22:P22"/>
    <mergeCell ref="L25:P26"/>
    <mergeCell ref="L27:P27"/>
  </mergeCells>
  <conditionalFormatting sqref="A1:K1">
    <cfRule type="duplicateValues" dxfId="0" priority="5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 data</vt:lpstr>
      <vt:lpstr>Cleaning </vt:lpstr>
      <vt:lpstr>Question 1, 2</vt:lpstr>
      <vt:lpstr>Question 3, 4, 5</vt:lpstr>
      <vt:lpstr>'Cleaning '!Print_Area</vt:lpstr>
      <vt:lpstr>'Question 1, 2'!Print_Area</vt:lpstr>
      <vt:lpstr>'Question 3, 4,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Kiruba</dc:creator>
  <cp:lastModifiedBy>Anush Kiruba</cp:lastModifiedBy>
  <cp:lastPrinted>2026-05-24T07:46:59Z</cp:lastPrinted>
  <dcterms:created xsi:type="dcterms:W3CDTF">2026-05-23T12:32:02Z</dcterms:created>
  <dcterms:modified xsi:type="dcterms:W3CDTF">2026-05-24T10:34:16Z</dcterms:modified>
</cp:coreProperties>
</file>